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8e4405e47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nomia" sheetId="1" r:id="R91ae4af3eeb24a5d"/>
    <x:sheet xmlns:r="http://schemas.openxmlformats.org/officeDocument/2006/relationships" name="Parametros" sheetId="2" r:id="Rdaadb6f8895744c6"/>
    <x:sheet xmlns:r="http://schemas.openxmlformats.org/officeDocument/2006/relationships" name="Mineracao" sheetId="3" r:id="R69b4e5a9537c47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"/>
    <x:numFmt numFmtId="202" formatCode="0.0%"/>
    <x:numFmt numFmtId="203" formatCode="@"/>
  </x:numFmts>
  <x:fonts count="6">
    <x:font>
      <x:sz val="11"/>
      <x:name val="Carlito"/>
    </x:font>
    <x:font>
      <x:sz val="10"/>
      <x:color rgb="FF34312E"/>
      <x:name val="Arial"/>
    </x:font>
    <x:font>
      <x:b/>
      <x:sz val="15"/>
      <x:color rgb="FF34312E"/>
      <x:name val="Arial"/>
    </x:font>
    <x:font>
      <x:b/>
      <x:sz val="10"/>
      <x:color rgb="FFFFFFFF"/>
      <x:name val="Arial"/>
    </x:font>
    <x:font>
      <x:b/>
      <x:sz val="10"/>
      <x:color rgb="FF34312E"/>
      <x:name val="Arial"/>
    </x:font>
    <x:font>
      <x:i/>
      <x:sz val="10"/>
      <x:color rgb="FF66666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6B42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3" fillId="3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lef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2bd79b83340d6" /><Relationship Type="http://schemas.openxmlformats.org/officeDocument/2006/relationships/theme" Target="/xl/theme/theme1.xml" Id="R6f7508ea04d3426b" /><Relationship Type="http://schemas.openxmlformats.org/officeDocument/2006/relationships/sharedStrings" Target="/xl/sharedStrings.xml" Id="R5cc7986b9a294d0d" /><Relationship Type="http://schemas.openxmlformats.org/officeDocument/2006/relationships/worksheet" Target="/xl/worksheets/sheet1.xml" Id="R91ae4af3eeb24a5d" /><Relationship Type="http://schemas.openxmlformats.org/officeDocument/2006/relationships/worksheet" Target="/xl/worksheets/sheet2.xml" Id="Rdaadb6f8895744c6" /><Relationship Type="http://schemas.openxmlformats.org/officeDocument/2006/relationships/worksheet" Target="/xl/worksheets/sheet3.xml" Id="R69b4e5a9537c47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B4226"/>
  </x:sheetPr>
  <x:sheetViews>
    <x:sheetView showGridLines="0" workbookViewId="0"/>
  </x:sheetViews>
  <x:sheetFormatPr defaultRowHeight="15"/>
  <x:cols>
    <x:col min="1" max="1" width="4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4" customHeight="1">
      <x:c r="A1" s="3"/>
      <x:c r="B1" s="3"/>
      <x:c r="C1" s="3"/>
      <x:c r="D1" s="3"/>
      <x:c r="E1" s="3"/>
      <x:c r="F1" s="3"/>
    </x:row>
    <x:row r="2" ht="30" customHeight="1">
      <x:c r="A2" s="4" t="str">
        <x:v>Aetherforge: economia global diária</x:v>
      </x:c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28" customHeight="1">
      <x:c r="A4" s="26" t="str">
        <x:v>Cenário de design. Moedas comuns e premium são contabilizadas separadamente.</x:v>
      </x:c>
      <x:c r="B4" s="3"/>
      <x:c r="C4" s="3"/>
      <x:c r="D4" s="3"/>
      <x:c r="E4" s="3"/>
      <x:c r="F4" s="3"/>
    </x:row>
    <x:row r="5" ht="24" customHeight="1">
      <x:c r="A5" s="3"/>
      <x:c r="B5" s="3"/>
      <x:c r="C5" s="3"/>
      <x:c r="D5" s="3"/>
      <x:c r="E5" s="3"/>
      <x:c r="F5" s="3"/>
    </x:row>
    <x:row r="6" ht="34" customHeight="1">
      <x:c r="A6" s="10" t="str">
        <x:v>Indicador</x:v>
      </x:c>
      <x:c r="B6" s="10" t="str">
        <x:v>Por conta ativa/dia</x:v>
      </x:c>
      <x:c r="C6" s="10" t="str">
        <x:v>Global/dia</x:v>
      </x:c>
      <x:c r="D6" s="3"/>
      <x:c r="E6" s="3"/>
      <x:c r="F6" s="3"/>
    </x:row>
    <x:row r="7" ht="24" customHeight="1">
      <x:c r="A7" s="3" t="str">
        <x:v>Contas ativas</x:v>
      </x:c>
      <x:c r="B7" s="15" t="str">
        <x:f>"n.a."</x:f>
        <x:v>n.a.</x:v>
      </x:c>
      <x:c r="C7" s="15" t="n">
        <x:f>B25</x:f>
        <x:v>600</x:v>
      </x:c>
      <x:c r="D7" s="16"/>
      <x:c r="E7" s="16"/>
      <x:c r="F7" s="16"/>
    </x:row>
    <x:row r="8" ht="24" customHeight="1">
      <x:c r="A8" s="3" t="str">
        <x:v>Moedas comuns geradas</x:v>
      </x:c>
      <x:c r="B8" s="15" t="n">
        <x:f>SUM(B33:B34)</x:f>
        <x:v>620</x:v>
      </x:c>
      <x:c r="C8" s="15" t="n">
        <x:f>B8*$B$25</x:f>
        <x:v>372000</x:v>
      </x:c>
      <x:c r="D8" s="16"/>
      <x:c r="E8" s="16"/>
      <x:c r="F8" s="16"/>
    </x:row>
    <x:row r="9" ht="24" customHeight="1">
      <x:c r="A9" s="3" t="str">
        <x:v>Moedas comuns consumidas</x:v>
      </x:c>
      <x:c r="B9" s="15" t="n">
        <x:f>SUM(B35:B39)</x:f>
        <x:v>425</x:v>
      </x:c>
      <x:c r="C9" s="15" t="n">
        <x:f>B9*$B$25</x:f>
        <x:v>255000</x:v>
      </x:c>
      <x:c r="D9" s="16"/>
      <x:c r="E9" s="16"/>
      <x:c r="F9" s="16"/>
    </x:row>
    <x:row r="10" ht="24" customHeight="1">
      <x:c r="A10" s="3" t="str">
        <x:v>Variação líquida de moedas</x:v>
      </x:c>
      <x:c r="B10" s="21" t="n">
        <x:f>B8-B9</x:f>
        <x:v>195</x:v>
      </x:c>
      <x:c r="C10" s="21" t="n">
        <x:f>B10*$B$25</x:f>
        <x:v>117000</x:v>
      </x:c>
      <x:c r="D10" s="16"/>
      <x:c r="E10" s="16"/>
      <x:c r="F10" s="16"/>
    </x:row>
    <x:row r="11" ht="24" customHeight="1">
      <x:c r="A11" s="3" t="str">
        <x:v>Consumo / geração</x:v>
      </x:c>
      <x:c r="B11" s="17" t="n">
        <x:f>IF(B8=0,"n.a.",B9/B8)</x:f>
        <x:v>0.6854838709677419</x:v>
      </x:c>
      <x:c r="C11" s="17" t="n">
        <x:f>B11</x:f>
        <x:v>0.6854838709677419</x:v>
      </x:c>
      <x:c r="D11" s="16"/>
      <x:c r="E11" s="16"/>
      <x:c r="F11" s="16"/>
    </x:row>
    <x:row r="12" ht="24" customHeight="1">
      <x:c r="A12" s="3" t="str">
        <x:v>Premium novo de teste</x:v>
      </x:c>
      <x:c r="B12" s="15" t="n">
        <x:f>'Parametros'!$B$35</x:f>
        <x:v>0</x:v>
      </x:c>
      <x:c r="C12" s="15" t="n">
        <x:f>B12*$B$25</x:f>
        <x:v>0</x:v>
      </x:c>
      <x:c r="D12" s="16"/>
      <x:c r="E12" s="16"/>
      <x:c r="F12" s="16"/>
    </x:row>
    <x:row r="13" ht="24" customHeight="1">
      <x:c r="A13" s="3" t="str">
        <x:v>Premium negociado (redistribuição)</x:v>
      </x:c>
      <x:c r="B13" s="15" t="n">
        <x:f>'Parametros'!$B$31*'Parametros'!$B$32</x:f>
        <x:v>10</x:v>
      </x:c>
      <x:c r="C13" s="15" t="n">
        <x:f>B13*$B$25</x:f>
        <x:v>6000</x:v>
      </x:c>
      <x:c r="D13" s="16"/>
      <x:c r="E13" s="16"/>
      <x:c r="F13" s="16"/>
    </x:row>
    <x:row r="14" ht="24" customHeight="1">
      <x:c r="A14" s="3"/>
      <x:c r="B14" s="16"/>
      <x:c r="C14" s="16"/>
      <x:c r="D14" s="16"/>
      <x:c r="E14" s="16"/>
      <x:c r="F14" s="16"/>
    </x:row>
    <x:row r="15" ht="24" customHeight="1">
      <x:c r="A15" s="3"/>
      <x:c r="B15" s="16"/>
      <x:c r="C15" s="16"/>
      <x:c r="D15" s="16"/>
      <x:c r="E15" s="16"/>
      <x:c r="F15" s="16"/>
    </x:row>
    <x:row r="16" ht="34" customHeight="1">
      <x:c r="A16" s="10" t="str">
        <x:v>Material</x:v>
      </x:c>
      <x:c r="B16" s="12" t="str">
        <x:v>Produzido/conta</x:v>
      </x:c>
      <x:c r="C16" s="12" t="str">
        <x:v>Compartilhado/conta</x:v>
      </x:c>
      <x:c r="D16" s="12" t="str">
        <x:v>Consumido/conta</x:v>
      </x:c>
      <x:c r="E16" s="12" t="str">
        <x:v>Saldo/conta</x:v>
      </x:c>
      <x:c r="F16" s="12" t="str">
        <x:v>Saldo global</x:v>
      </x:c>
    </x:row>
    <x:row r="17" ht="24" customHeight="1">
      <x:c r="A17" s="3" t="str">
        <x:v>Minério</x:v>
      </x:c>
      <x:c r="B17" s="16" t="n">
        <x:f>B42</x:f>
        <x:v>196.36363636363637</x:v>
      </x:c>
      <x:c r="C17" s="16" t="n">
        <x:f>B46</x:f>
        <x:v>102</x:v>
      </x:c>
      <x:c r="D17" s="16" t="n">
        <x:f>B49</x:f>
        <x:v>20</x:v>
      </x:c>
      <x:c r="E17" s="16" t="n">
        <x:f>B17-D17</x:f>
        <x:v>176.36363636363637</x:v>
      </x:c>
      <x:c r="F17" s="16" t="n">
        <x:f>E17*$B$25</x:f>
        <x:v>105818.18181818182</x:v>
      </x:c>
    </x:row>
    <x:row r="18" ht="24" customHeight="1">
      <x:c r="A18" s="3" t="str">
        <x:v>Sucata</x:v>
      </x:c>
      <x:c r="B18" s="16" t="n">
        <x:f>B43</x:f>
        <x:v>187.63636363636363</x:v>
      </x:c>
      <x:c r="C18" s="16" t="n">
        <x:f>B47</x:f>
        <x:v>98</x:v>
      </x:c>
      <x:c r="D18" s="16" t="n">
        <x:f>B50</x:f>
        <x:v>4</x:v>
      </x:c>
      <x:c r="E18" s="16" t="n">
        <x:f>B18-D18</x:f>
        <x:v>183.63636363636363</x:v>
      </x:c>
      <x:c r="F18" s="16" t="n">
        <x:f>E18*$B$25</x:f>
        <x:v>110181.81818181818</x:v>
      </x:c>
    </x:row>
    <x:row r="19" ht="24" customHeight="1">
      <x:c r="A19" s="3" t="str">
        <x:v>Cristal</x:v>
      </x:c>
      <x:c r="B19" s="16" t="n">
        <x:f>B44</x:f>
        <x:v>7.2727272727272725</x:v>
      </x:c>
      <x:c r="C19" s="16" t="n">
        <x:f>B48</x:f>
        <x:v>7</x:v>
      </x:c>
      <x:c r="D19" s="16" t="n">
        <x:f>B51</x:f>
        <x:v>2</x:v>
      </x:c>
      <x:c r="E19" s="16" t="n">
        <x:f>B19-D19</x:f>
        <x:v>5.2727272727272725</x:v>
      </x:c>
      <x:c r="F19" s="16" t="n">
        <x:f>E19*$B$25</x:f>
        <x:v>3163.6363636363635</x:v>
      </x:c>
    </x:row>
    <x:row r="20" ht="24" customHeight="1">
      <x:c r="A20" s="3"/>
      <x:c r="B20" s="16"/>
      <x:c r="C20" s="16"/>
      <x:c r="D20" s="16"/>
      <x:c r="E20" s="16"/>
      <x:c r="F20" s="16"/>
    </x:row>
    <x:row r="21" ht="28" customHeight="1">
      <x:c r="A21" s="26" t="str">
        <x:v>Compartilhar muda disponibilidade; não aumenta o estoque global. Saldos negativos indicam demanda maior que oferta.</x:v>
      </x:c>
      <x:c r="B21" s="16"/>
      <x:c r="C21" s="16"/>
      <x:c r="D21" s="16"/>
      <x:c r="E21" s="16"/>
      <x:c r="F21" s="16"/>
    </x:row>
    <x:row r="22" ht="28" customHeight="1">
      <x:c r="A22" s="26" t="str">
        <x:v>Premium negociado exige saldo anterior ou injeção no teste. Seu efeito líquido na oferta global é zero.</x:v>
      </x:c>
      <x:c r="B22" s="16"/>
      <x:c r="C22" s="16"/>
      <x:c r="D22" s="16"/>
      <x:c r="E22" s="16"/>
      <x:c r="F22" s="16"/>
    </x:row>
    <x:row r="23" ht="24" customHeight="1">
      <x:c r="A23" s="3"/>
      <x:c r="B23" s="16"/>
      <x:c r="C23" s="16"/>
      <x:c r="D23" s="16"/>
      <x:c r="E23" s="16"/>
      <x:c r="F23" s="16"/>
    </x:row>
    <x:row r="24" ht="34" customHeight="1">
      <x:c r="A24" s="10" t="str">
        <x:v>Cálculo diário por conta</x:v>
      </x:c>
      <x:c r="B24" s="18" t="str">
        <x:v>Resultado</x:v>
      </x:c>
      <x:c r="C24" s="18" t="str">
        <x:v>Unidade</x:v>
      </x:c>
      <x:c r="D24" s="16"/>
      <x:c r="E24" s="16"/>
      <x:c r="F24" s="16"/>
    </x:row>
    <x:row r="25" ht="24" customHeight="1">
      <x:c r="A25" s="3" t="str">
        <x:v>Contas ativas</x:v>
      </x:c>
      <x:c r="B25" s="16" t="n">
        <x:f>'Parametros'!$B$7*'Parametros'!$B$8</x:f>
        <x:v>600</x:v>
      </x:c>
      <x:c r="C25" s="20" t="str">
        <x:v>contas</x:v>
      </x:c>
      <x:c r="D25" s="16"/>
      <x:c r="E25" s="16"/>
      <x:c r="F25" s="16"/>
    </x:row>
    <x:row r="26" ht="24" customHeight="1">
      <x:c r="A26" s="3" t="str">
        <x:v>Horas de caça</x:v>
      </x:c>
      <x:c r="B26" s="16" t="n">
        <x:f>'Parametros'!$B$9*'Parametros'!$B$10</x:f>
        <x:v>4</x:v>
      </x:c>
      <x:c r="C26" s="20" t="str">
        <x:v>h/dia</x:v>
      </x:c>
      <x:c r="D26" s="16"/>
      <x:c r="E26" s="16"/>
      <x:c r="F26" s="16"/>
    </x:row>
    <x:row r="27" ht="24" customHeight="1">
      <x:c r="A27" s="3" t="str">
        <x:v>Horas de mineração</x:v>
      </x:c>
      <x:c r="B27" s="16" t="n">
        <x:f>'Parametros'!$B$9-B26</x:f>
        <x:v>4</x:v>
      </x:c>
      <x:c r="C27" s="20" t="str">
        <x:v>h/dia</x:v>
      </x:c>
      <x:c r="D27" s="16"/>
      <x:c r="E27" s="16"/>
      <x:c r="F27" s="16"/>
    </x:row>
    <x:row r="28" ht="24" customHeight="1">
      <x:c r="A28" s="3" t="str">
        <x:v>Vitórias de caça</x:v>
      </x:c>
      <x:c r="B28" s="16" t="n">
        <x:f>B26*'Parametros'!$B$11</x:f>
        <x:v>96</x:v>
      </x:c>
      <x:c r="C28" s="20" t="str">
        <x:v>vitórias/dia</x:v>
      </x:c>
      <x:c r="D28" s="16"/>
      <x:c r="E28" s="16"/>
      <x:c r="F28" s="16"/>
    </x:row>
    <x:row r="29" ht="24" customHeight="1">
      <x:c r="A29" s="3" t="str">
        <x:v>Ciclo médio de mineração</x:v>
      </x:c>
      <x:c r="B29" s="16" t="n">
        <x:f>'Parametros'!$B$17+'Parametros'!$B$18*'Parametros'!$B$19</x:f>
        <x:v>66</x:v>
      </x:c>
      <x:c r="C29" s="20" t="str">
        <x:v>segundos</x:v>
      </x:c>
      <x:c r="D29" s="16"/>
      <x:c r="E29" s="16"/>
      <x:c r="F29" s="16"/>
    </x:row>
    <x:row r="30" ht="24" customHeight="1">
      <x:c r="A30" s="3" t="str">
        <x:v>Minério por ciclo</x:v>
      </x:c>
      <x:c r="B30" s="16" t="n">
        <x:f>VLOOKUP('Parametros'!$B$16,'Mineracao'!$A$7:$E$11,3,FALSE)*'Parametros'!$B$17/3600</x:f>
        <x:v>0.9</x:v>
      </x:c>
      <x:c r="C30" s="20" t="str">
        <x:v>unidades/ciclo</x:v>
      </x:c>
      <x:c r="D30" s="16"/>
      <x:c r="E30" s="16"/>
      <x:c r="F30" s="16"/>
    </x:row>
    <x:row r="31" ht="24" customHeight="1">
      <x:c r="A31" s="3" t="str">
        <x:v>Sucata por ciclo</x:v>
      </x:c>
      <x:c r="B31" s="16" t="n">
        <x:f>VLOOKUP('Parametros'!$B$16,'Mineracao'!$A$7:$E$11,4,FALSE)*'Parametros'!$B$17/3600</x:f>
        <x:v>0.2</x:v>
      </x:c>
      <x:c r="C31" s="20" t="str">
        <x:v>unidades/ciclo</x:v>
      </x:c>
      <x:c r="D31" s="16"/>
      <x:c r="E31" s="16"/>
      <x:c r="F31" s="16"/>
    </x:row>
    <x:row r="32" ht="24" customHeight="1">
      <x:c r="A32" s="3" t="str">
        <x:v>Cristais por ciclo</x:v>
      </x:c>
      <x:c r="B32" s="16" t="n">
        <x:f>VLOOKUP('Parametros'!$B$16,'Mineracao'!$A$7:$E$11,5,FALSE)*'Parametros'!$B$17/3600</x:f>
        <x:v>0.03333333333333333</x:v>
      </x:c>
      <x:c r="C32" s="20" t="str">
        <x:v>unidades/ciclo</x:v>
      </x:c>
      <x:c r="D32" s="16"/>
      <x:c r="E32" s="16"/>
      <x:c r="F32" s="16"/>
    </x:row>
    <x:row r="33" ht="24" customHeight="1">
      <x:c r="A33" s="3" t="str">
        <x:v>Emissão de moedas idle</x:v>
      </x:c>
      <x:c r="B33" s="16" t="n">
        <x:f>MIN(B28*'Parametros'!$B$12,'Parametros'!$B$14)</x:f>
        <x:v>500</x:v>
      </x:c>
      <x:c r="C33" s="20" t="str">
        <x:v>moedas/dia</x:v>
      </x:c>
      <x:c r="D33" s="16"/>
      <x:c r="E33" s="16"/>
      <x:c r="F33" s="16"/>
    </x:row>
    <x:row r="34" ht="24" customHeight="1">
      <x:c r="A34" s="3" t="str">
        <x:v>Emissão de moedas MMORPG</x:v>
      </x:c>
      <x:c r="B34" s="16" t="n">
        <x:f>'Parametros'!$B$15</x:f>
        <x:v>120</x:v>
      </x:c>
      <x:c r="C34" s="20" t="str">
        <x:v>moedas/dia</x:v>
      </x:c>
      <x:c r="D34" s="16"/>
      <x:c r="E34" s="16"/>
      <x:c r="F34" s="16"/>
    </x:row>
    <x:row r="35" ht="24" customHeight="1">
      <x:c r="A35" s="3" t="str">
        <x:v>Reparos</x:v>
      </x:c>
      <x:c r="B35" s="16" t="n">
        <x:f>'Parametros'!$B$22*'Parametros'!$B$23</x:f>
        <x:v>240</x:v>
      </x:c>
      <x:c r="C35" s="20" t="str">
        <x:v>moedas/dia</x:v>
      </x:c>
      <x:c r="D35" s="16"/>
      <x:c r="E35" s="16"/>
      <x:c r="F35" s="16"/>
    </x:row>
    <x:row r="36" ht="24" customHeight="1">
      <x:c r="A36" s="3" t="str">
        <x:v>Craft de melhorias</x:v>
      </x:c>
      <x:c r="B36" s="16" t="n">
        <x:f>'Parametros'!$B$24*'Parametros'!$B$25</x:f>
        <x:v>120</x:v>
      </x:c>
      <x:c r="C36" s="20" t="str">
        <x:v>moedas/dia</x:v>
      </x:c>
      <x:c r="D36" s="16"/>
      <x:c r="E36" s="16"/>
      <x:c r="F36" s="16"/>
    </x:row>
    <x:row r="37" ht="24" customHeight="1">
      <x:c r="A37" s="3" t="str">
        <x:v>Craft do Regulador</x:v>
      </x:c>
      <x:c r="B37" s="16" t="n">
        <x:f>'Parametros'!$B$36*'Parametros'!$B$37</x:f>
        <x:v>0</x:v>
      </x:c>
      <x:c r="C37" s="20" t="str">
        <x:v>moedas/dia</x:v>
      </x:c>
      <x:c r="D37" s="16"/>
      <x:c r="E37" s="16"/>
      <x:c r="F37" s="16"/>
    </x:row>
    <x:row r="38" ht="24" customHeight="1">
      <x:c r="A38" s="3" t="str">
        <x:v>Consumíveis</x:v>
      </x:c>
      <x:c r="B38" s="16" t="n">
        <x:f>'Parametros'!$B$29*'Parametros'!$B$30</x:f>
        <x:v>60</x:v>
      </x:c>
      <x:c r="C38" s="20" t="str">
        <x:v>moedas/dia</x:v>
      </x:c>
      <x:c r="D38" s="16"/>
      <x:c r="E38" s="16"/>
      <x:c r="F38" s="16"/>
    </x:row>
    <x:row r="39" ht="24" customHeight="1">
      <x:c r="A39" s="3" t="str">
        <x:v>Taxas do mercado</x:v>
      </x:c>
      <x:c r="B39" s="16" t="n">
        <x:f>'Parametros'!$B$31*MAX('Parametros'!$B$34,ROUNDUP('Parametros'!$B$32*'Parametros'!$B$33,0))</x:f>
        <x:v>5</x:v>
      </x:c>
      <x:c r="C39" s="20" t="str">
        <x:v>moedas/dia</x:v>
      </x:c>
      <x:c r="D39" s="16"/>
      <x:c r="E39" s="16"/>
      <x:c r="F39" s="16"/>
    </x:row>
    <x:row r="40" ht="24" customHeight="1">
      <x:c r="A40" s="3" t="str">
        <x:v>Ciclos de mineração</x:v>
      </x:c>
      <x:c r="B40" s="16" t="n">
        <x:f>B27*3600/B29</x:f>
        <x:v>218.1818181818182</x:v>
      </x:c>
      <x:c r="C40" s="20" t="str">
        <x:v>ciclos/dia</x:v>
      </x:c>
      <x:c r="D40" s="16"/>
      <x:c r="E40" s="16"/>
      <x:c r="F40" s="16"/>
    </x:row>
    <x:row r="41" ht="24" customHeight="1">
      <x:c r="A41" s="3" t="str">
        <x:v>Sucata por caça</x:v>
      </x:c>
      <x:c r="B41" s="16" t="n">
        <x:f>B28*'Parametros'!$B$13</x:f>
        <x:v>144</x:v>
      </x:c>
      <x:c r="C41" s="20" t="str">
        <x:v>unidades/dia</x:v>
      </x:c>
      <x:c r="D41" s="16"/>
      <x:c r="E41" s="16"/>
      <x:c r="F41" s="16"/>
    </x:row>
    <x:row r="42" ht="24" customHeight="1">
      <x:c r="A42" s="3" t="str">
        <x:v>Minério produzido</x:v>
      </x:c>
      <x:c r="B42" s="16" t="n">
        <x:f>B40*B30</x:f>
        <x:v>196.36363636363637</x:v>
      </x:c>
      <x:c r="C42" s="20" t="str">
        <x:v>unidades/dia</x:v>
      </x:c>
      <x:c r="D42" s="16"/>
      <x:c r="E42" s="16"/>
      <x:c r="F42" s="16"/>
    </x:row>
    <x:row r="43" ht="24" customHeight="1">
      <x:c r="A43" s="3" t="str">
        <x:v>Sucata produzida</x:v>
      </x:c>
      <x:c r="B43" s="16" t="n">
        <x:f>B40*B31+B41+'Parametros'!$B$41</x:f>
        <x:v>187.63636363636363</x:v>
      </x:c>
      <x:c r="C43" s="20" t="str">
        <x:v>unidades/dia</x:v>
      </x:c>
      <x:c r="D43" s="16"/>
      <x:c r="E43" s="16"/>
      <x:c r="F43" s="16"/>
    </x:row>
    <x:row r="44" ht="24" customHeight="1">
      <x:c r="A44" s="3" t="str">
        <x:v>Cristais produzidos</x:v>
      </x:c>
      <x:c r="B44" s="16" t="n">
        <x:f>B40*B32</x:f>
        <x:v>7.2727272727272725</x:v>
      </x:c>
      <x:c r="C44" s="20" t="str">
        <x:v>unidades/dia</x:v>
      </x:c>
      <x:c r="D44" s="16"/>
      <x:c r="E44" s="16"/>
      <x:c r="F44" s="16"/>
    </x:row>
    <x:row r="45" ht="24" customHeight="1">
      <x:c r="A45" s="3" t="str">
        <x:v>Compartilhamento combinado</x:v>
      </x:c>
      <x:c r="B45" s="16" t="n">
        <x:f>MIN(ROUNDDOWN(SUM(B42:B43),0),'Parametros'!$B$20)</x:f>
        <x:v>200</x:v>
      </x:c>
      <x:c r="C45" s="20" t="str">
        <x:v>unidades/dia</x:v>
      </x:c>
      <x:c r="D45" s="16"/>
      <x:c r="E45" s="16"/>
      <x:c r="F45" s="16"/>
    </x:row>
    <x:row r="46" ht="24" customHeight="1">
      <x:c r="A46" s="3" t="str">
        <x:v>Minério compartilhado</x:v>
      </x:c>
      <x:c r="B46" s="16" t="n">
        <x:f>IF(SUM(B42:B43)=0,0,ROUNDDOWN(B45*B42/SUM(B42:B43),0))</x:f>
        <x:v>102</x:v>
      </x:c>
      <x:c r="C46" s="20" t="str">
        <x:v>unidades/dia</x:v>
      </x:c>
      <x:c r="D46" s="16"/>
      <x:c r="E46" s="16"/>
      <x:c r="F46" s="16"/>
    </x:row>
    <x:row r="47" ht="24" customHeight="1">
      <x:c r="A47" s="3" t="str">
        <x:v>Sucata compartilhada</x:v>
      </x:c>
      <x:c r="B47" s="16" t="n">
        <x:f>MIN(ROUNDDOWN(B43,0),B45-B46)</x:f>
        <x:v>98</x:v>
      </x:c>
      <x:c r="C47" s="20" t="str">
        <x:v>unidades/dia</x:v>
      </x:c>
      <x:c r="D47" s="16"/>
      <x:c r="E47" s="16"/>
      <x:c r="F47" s="16"/>
    </x:row>
    <x:row r="48" ht="24" customHeight="1">
      <x:c r="A48" s="3" t="str">
        <x:v>Cristais compartilhados</x:v>
      </x:c>
      <x:c r="B48" s="16" t="n">
        <x:f>MIN(ROUNDDOWN(B44,0),'Parametros'!$B$21)</x:f>
        <x:v>7</x:v>
      </x:c>
      <x:c r="C48" s="20" t="str">
        <x:v>unidades/dia</x:v>
      </x:c>
      <x:c r="D48" s="16"/>
      <x:c r="E48" s="16"/>
      <x:c r="F48" s="16"/>
    </x:row>
    <x:row r="49" ht="24" customHeight="1">
      <x:c r="A49" s="3" t="str">
        <x:v>Consumo de minério</x:v>
      </x:c>
      <x:c r="B49" s="16" t="n">
        <x:f>'Parametros'!$B$24*'Parametros'!$B$26+'Parametros'!$B$36*'Parametros'!$B$38</x:f>
        <x:v>20</x:v>
      </x:c>
      <x:c r="C49" s="20" t="str">
        <x:v>unidades/dia</x:v>
      </x:c>
      <x:c r="D49" s="16"/>
      <x:c r="E49" s="16"/>
      <x:c r="F49" s="16"/>
    </x:row>
    <x:row r="50" ht="24" customHeight="1">
      <x:c r="A50" s="3" t="str">
        <x:v>Consumo de sucata</x:v>
      </x:c>
      <x:c r="B50" s="16" t="n">
        <x:f>'Parametros'!$B$24*'Parametros'!$B$27+'Parametros'!$B$36*'Parametros'!$B$39</x:f>
        <x:v>4</x:v>
      </x:c>
      <x:c r="C50" s="20" t="str">
        <x:v>unidades/dia</x:v>
      </x:c>
      <x:c r="D50" s="16"/>
      <x:c r="E50" s="16"/>
      <x:c r="F50" s="16"/>
    </x:row>
    <x:row r="51" ht="24" customHeight="1">
      <x:c r="A51" s="3" t="str">
        <x:v>Consumo de cristais</x:v>
      </x:c>
      <x:c r="B51" s="16" t="n">
        <x:f>'Parametros'!$B$24*'Parametros'!$B$28+'Parametros'!$B$36*'Parametros'!$B$40</x:f>
        <x:v>2</x:v>
      </x:c>
      <x:c r="C51" s="20" t="str">
        <x:v>unidades/dia</x:v>
      </x:c>
      <x:c r="D51" s="16"/>
      <x:c r="E51" s="16"/>
      <x:c r="F51" s="16"/>
    </x:row>
    <x:row r="52" ht="24" customHeight="1">
      <x:c r="A52" s="3"/>
      <x:c r="B52" s="3"/>
      <x:c r="C52" s="3"/>
      <x:c r="D52" s="3"/>
      <x:c r="E52" s="3"/>
      <x:c r="F52" s="3"/>
    </x:row>
    <x:row r="53" ht="28" customHeight="1">
      <x:c r="A53" s="26" t="str">
        <x:v>Compartilhamento proporcional é um cenário de demanda; o jogador escolhe quais lotes mover.</x:v>
      </x:c>
      <x:c r="B53" s="3"/>
      <x:c r="C53" s="3"/>
      <x:c r="D53" s="3"/>
      <x:c r="E53" s="3"/>
      <x:c r="F53" s="3"/>
    </x:row>
    <x:row r="54" ht="28" customHeight="1">
      <x:c r="A54" s="26" t="str">
        <x:v>Consumo de materiais considera o estoque total da conta, incluindo o uso no próprio idle.</x:v>
      </x:c>
      <x:c r="B54" s="3"/>
      <x:c r="C54" s="3"/>
      <x:c r="D54" s="3"/>
      <x:c r="E54" s="3"/>
      <x:c r="F54" s="3"/>
    </x:row>
    <x:row r="55" ht="28" customHeight="1">
      <x:c r="A55" s="26" t="str">
        <x:v>A primeira quest fornece faltantes uma vez; essas concessões não representam produção diária recorrente.</x:v>
      </x:c>
      <x:c r="B55" s="3"/>
      <x:c r="C55" s="3"/>
      <x:c r="D55" s="3"/>
      <x:c r="E55" s="3"/>
      <x:c r="F55" s="3"/>
    </x:row>
  </x:sheetData>
  <x:conditionalFormatting sqref="E17:F19">
    <x:cfRule type="cellIs" dxfId="0" priority="1" operator="lessThan">
      <x:formula>0</x:formula>
    </x:cfRule>
  </x:conditionalFormatting>
  <x:conditionalFormatting sqref="B10:C10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9875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23" hidden="0" customWidth="1"/>
    <x:col min="4" max="4" width="62" hidden="0" customWidth="1"/>
  </x:cols>
  <x:sheetData>
    <x:row r="1" ht="24" customHeight="1">
      <x:c r="A1" s="3"/>
      <x:c r="B1" s="3"/>
      <x:c r="C1" s="3"/>
      <x:c r="D1" s="3"/>
    </x:row>
    <x:row r="2" ht="30" customHeight="1">
      <x:c r="A2" s="4" t="str">
        <x:v>Aetherforge: parâmetros econômicos</x:v>
      </x:c>
      <x:c r="B2" s="3"/>
      <x:c r="C2" s="3"/>
      <x:c r="D2" s="3"/>
    </x:row>
    <x:row r="3" ht="24" customHeight="1">
      <x:c r="A3" s="3"/>
      <x:c r="B3" s="3"/>
      <x:c r="C3" s="3"/>
      <x:c r="D3" s="3"/>
    </x:row>
    <x:row r="4" ht="28" customHeight="1">
      <x:c r="A4" s="26" t="str">
        <x:v>Hipóteses de design do GDD v0.3, seção 15.6. Não são dados observados.</x:v>
      </x:c>
      <x:c r="B4" s="3"/>
      <x:c r="C4" s="3"/>
      <x:c r="D4" s="3"/>
    </x:row>
    <x:row r="5" ht="24" customHeight="1">
      <x:c r="A5" s="3"/>
      <x:c r="B5" s="3"/>
      <x:c r="C5" s="3"/>
      <x:c r="D5" s="3"/>
    </x:row>
    <x:row r="6" ht="34" customHeight="1">
      <x:c r="A6" s="10" t="str">
        <x:v>Parâmetro</x:v>
      </x:c>
      <x:c r="B6" s="10" t="str">
        <x:v>Valor editável</x:v>
      </x:c>
      <x:c r="C6" s="10" t="str">
        <x:v>Unidade</x:v>
      </x:c>
      <x:c r="D6" s="10" t="str">
        <x:v>Uso no modelo</x:v>
      </x:c>
    </x:row>
    <x:row r="7" ht="32" customHeight="1">
      <x:c r="A7" s="3" t="str">
        <x:v>Contas totais</x:v>
      </x:c>
      <x:c r="B7" s="23" t="n">
        <x:v>1000</x:v>
      </x:c>
      <x:c r="C7" s="3" t="str">
        <x:v>contas</x:v>
      </x:c>
      <x:c r="D7" s="22" t="str">
        <x:v>Hipótese de população para dimensionar fluxos.</x:v>
      </x:c>
    </x:row>
    <x:row r="8" ht="32" customHeight="1">
      <x:c r="A8" s="3" t="str">
        <x:v>Participação diária</x:v>
      </x:c>
      <x:c r="B8" s="24" t="n">
        <x:v>0.6</x:v>
      </x:c>
      <x:c r="C8" s="3" t="str">
        <x:v>% das contas</x:v>
      </x:c>
      <x:c r="D8" s="22" t="str">
        <x:v>Contas que geram ou consomem no cenário diário.</x:v>
      </x:c>
    </x:row>
    <x:row r="9" ht="32" customHeight="1">
      <x:c r="A9" s="3" t="str">
        <x:v>Horas de idle por conta/dia</x:v>
      </x:c>
      <x:c r="B9" s="23" t="n">
        <x:v>8</x:v>
      </x:c>
      <x:c r="C9" s="3" t="str">
        <x:v>h/dia</x:v>
      </x:c>
      <x:c r="D9" s="22" t="str">
        <x:v>Tempo total das duas atividades, sem simultaneidade.</x:v>
      </x:c>
    </x:row>
    <x:row r="10" ht="32" customHeight="1">
      <x:c r="A10" s="3" t="str">
        <x:v>Fração do tempo em caça</x:v>
      </x:c>
      <x:c r="B10" s="24" t="n">
        <x:v>0.5</x:v>
      </x:c>
      <x:c r="C10" s="3" t="str">
        <x:v>% do tempo</x:v>
      </x:c>
      <x:c r="D10" s="22" t="str">
        <x:v>O tempo restante é mineração.</x:v>
      </x:c>
    </x:row>
    <x:row r="11" ht="32" customHeight="1">
      <x:c r="A11" s="3" t="str">
        <x:v>Vitórias comuns na caça/h</x:v>
      </x:c>
      <x:c r="B11" s="23" t="n">
        <x:v>24</x:v>
      </x:c>
      <x:c r="C11" s="3" t="str">
        <x:v>vitórias/h</x:v>
      </x:c>
      <x:c r="D11" s="22" t="str">
        <x:v>Hipótese de permanência; sem chefes no cenário.</x:v>
      </x:c>
    </x:row>
    <x:row r="12" ht="32" customHeight="1">
      <x:c r="A12" s="3" t="str">
        <x:v>Moedas por vitória comum</x:v>
      </x:c>
      <x:c r="B12" s="23" t="n">
        <x:v>10</x:v>
      </x:c>
      <x:c r="C12" s="3" t="str">
        <x:v>moedas</x:v>
      </x:c>
      <x:c r="D12" s="22" t="str">
        <x:v>Etapa representativa, ajustar com telemetria.</x:v>
      </x:c>
    </x:row>
    <x:row r="13" ht="32" customHeight="1">
      <x:c r="A13" s="3" t="str">
        <x:v>Sucata por vitória comum</x:v>
      </x:c>
      <x:c r="B13" s="23" t="n">
        <x:v>1.5</x:v>
      </x:c>
      <x:c r="C13" s="3" t="str">
        <x:v>unidades</x:v>
      </x:c>
      <x:c r="D13" s="22" t="str">
        <x:v>Média inicial das etapas da caça.</x:v>
      </x:c>
    </x:row>
    <x:row r="14" ht="32" customHeight="1">
      <x:c r="A14" s="3" t="str">
        <x:v>Teto de moedas idle/dia</x:v>
      </x:c>
      <x:c r="B14" s="23" t="n">
        <x:v>500</x:v>
      </x:c>
      <x:c r="C14" s="3" t="str">
        <x:v>moedas/dia</x:v>
      </x:c>
      <x:c r="D14" s="22" t="str">
        <x:v>Cap de emissão, não cap de transferência.</x:v>
      </x:c>
    </x:row>
    <x:row r="15" ht="32" customHeight="1">
      <x:c r="A15" s="3" t="str">
        <x:v>Moedas MMORPG por conta/dia</x:v>
      </x:c>
      <x:c r="B15" s="23" t="n">
        <x:v>120</x:v>
      </x:c>
      <x:c r="C15" s="3" t="str">
        <x:v>moedas/dia</x:v>
      </x:c>
      <x:c r="D15" s="22" t="str">
        <x:v>Hipótese de recompensas recorrentes.</x:v>
      </x:c>
    </x:row>
    <x:row r="16" ht="32" customHeight="1">
      <x:c r="A16" s="3" t="str">
        <x:v>Etapa de mineração</x:v>
      </x:c>
      <x:c r="B16" s="23" t="n">
        <x:v>3</x:v>
      </x:c>
      <x:c r="C16" s="3" t="str">
        <x:v>etapa 1 a 5</x:v>
      </x:c>
      <x:c r="D16" s="22" t="str">
        <x:v>Cenário estacionário na etapa escolhida.</x:v>
      </x:c>
    </x:row>
    <x:row r="17" ht="32" customHeight="1">
      <x:c r="A17" s="3" t="str">
        <x:v>Extração por ciclo</x:v>
      </x:c>
      <x:c r="B17" s="23" t="n">
        <x:v>60</x:v>
      </x:c>
      <x:c r="C17" s="3" t="str">
        <x:v>segundos</x:v>
      </x:c>
      <x:c r="D17" s="22" t="str">
        <x:v>Tempo produtivo, antes da emboscada.</x:v>
      </x:c>
    </x:row>
    <x:row r="18" ht="32" customHeight="1">
      <x:c r="A18" s="3" t="str">
        <x:v>Chance de emboscada</x:v>
      </x:c>
      <x:c r="B18" s="24" t="n">
        <x:v>0.2</x:v>
      </x:c>
      <x:c r="C18" s="3" t="str">
        <x:v>% dos ciclos</x:v>
      </x:c>
      <x:c r="D18" s="22" t="str">
        <x:v>Acrescenta tempo; sem recursos extra.</x:v>
      </x:c>
    </x:row>
    <x:row r="19" ht="32" customHeight="1">
      <x:c r="A19" s="3" t="str">
        <x:v>Combate médio da emboscada</x:v>
      </x:c>
      <x:c r="B19" s="23" t="n">
        <x:v>30</x:v>
      </x:c>
      <x:c r="C19" s="3" t="str">
        <x:v>segundos</x:v>
      </x:c>
      <x:c r="D19" s="22" t="str">
        <x:v>Hipótese de duração; não simula derrotas.</x:v>
      </x:c>
    </x:row>
    <x:row r="20" ht="32" customHeight="1">
      <x:c r="A20" s="3" t="str">
        <x:v>Compartilhar minério + sucata</x:v>
      </x:c>
      <x:c r="B20" s="23" t="n">
        <x:v>200</x:v>
      </x:c>
      <x:c r="C20" s="3" t="str">
        <x:v>unidades/dia</x:v>
      </x:c>
      <x:c r="D20" s="22" t="str">
        <x:v>Cap combinado por conta.</x:v>
      </x:c>
    </x:row>
    <x:row r="21" ht="32" customHeight="1">
      <x:c r="A21" s="3" t="str">
        <x:v>Compartilhar cristais</x:v>
      </x:c>
      <x:c r="B21" s="23" t="n">
        <x:v>12</x:v>
      </x:c>
      <x:c r="C21" s="3" t="str">
        <x:v>unidades/dia</x:v>
      </x:c>
      <x:c r="D21" s="22" t="str">
        <x:v>Cap independente por conta.</x:v>
      </x:c>
    </x:row>
    <x:row r="22" ht="32" customHeight="1">
      <x:c r="A22" s="3" t="str">
        <x:v>Pontos reparados por conta/dia</x:v>
      </x:c>
      <x:c r="B22" s="23" t="n">
        <x:v>120</x:v>
      </x:c>
      <x:c r="C22" s="3" t="str">
        <x:v>pontos/dia</x:v>
      </x:c>
      <x:c r="D22" s="22" t="str">
        <x:v>Somatório de pontos de todas as peças.</x:v>
      </x:c>
    </x:row>
    <x:row r="23" ht="32" customHeight="1">
      <x:c r="A23" s="3" t="str">
        <x:v>Custo de reparo por ponto</x:v>
      </x:c>
      <x:c r="B23" s="23" t="n">
        <x:v>2</x:v>
      </x:c>
      <x:c r="C23" s="3" t="str">
        <x:v>moedas/ponto</x:v>
      </x:c>
      <x:c r="D23" s="22" t="str">
        <x:v>Sem consumo de material na POC.</x:v>
      </x:c>
    </x:row>
    <x:row r="24" ht="32" customHeight="1">
      <x:c r="A24" s="3" t="str">
        <x:v>Melhorias simples por conta/dia</x:v>
      </x:c>
      <x:c r="B24" s="23" t="n">
        <x:v>2</x:v>
      </x:c>
      <x:c r="C24" s="3" t="str">
        <x:v>crafts/dia</x:v>
      </x:c>
      <x:c r="D24" s="22" t="str">
        <x:v>Hipótese de demanda recorrente.</x:v>
      </x:c>
    </x:row>
    <x:row r="25" ht="32" customHeight="1">
      <x:c r="A25" s="3" t="str">
        <x:v>Moedas por melhoria</x:v>
      </x:c>
      <x:c r="B25" s="23" t="n">
        <x:v>60</x:v>
      </x:c>
      <x:c r="C25" s="3" t="str">
        <x:v>moedas/craft</x:v>
      </x:c>
      <x:c r="D25" s="22" t="str">
        <x:v>Receita simples, separada do Regulador.</x:v>
      </x:c>
    </x:row>
    <x:row r="26" ht="32" customHeight="1">
      <x:c r="A26" s="3" t="str">
        <x:v>Minério por melhoria</x:v>
      </x:c>
      <x:c r="B26" s="23" t="n">
        <x:v>10</x:v>
      </x:c>
      <x:c r="C26" s="3" t="str">
        <x:v>unidades/craft</x:v>
      </x:c>
      <x:c r="D26" s="22" t="str">
        <x:v>Receita simples.</x:v>
      </x:c>
    </x:row>
    <x:row r="27" ht="32" customHeight="1">
      <x:c r="A27" s="3" t="str">
        <x:v>Sucata por melhoria</x:v>
      </x:c>
      <x:c r="B27" s="23" t="n">
        <x:v>2</x:v>
      </x:c>
      <x:c r="C27" s="3" t="str">
        <x:v>unidades/craft</x:v>
      </x:c>
      <x:c r="D27" s="22" t="str">
        <x:v>Receita simples.</x:v>
      </x:c>
    </x:row>
    <x:row r="28" ht="32" customHeight="1">
      <x:c r="A28" s="3" t="str">
        <x:v>Cristais por melhoria</x:v>
      </x:c>
      <x:c r="B28" s="23" t="n">
        <x:v>1</x:v>
      </x:c>
      <x:c r="C28" s="3" t="str">
        <x:v>unidades/craft</x:v>
      </x:c>
      <x:c r="D28" s="22" t="str">
        <x:v>Receita simples.</x:v>
      </x:c>
    </x:row>
    <x:row r="29" ht="32" customHeight="1">
      <x:c r="A29" s="3" t="str">
        <x:v>Consumíveis usados por conta/dia</x:v>
      </x:c>
      <x:c r="B29" s="23" t="n">
        <x:v>3</x:v>
      </x:c>
      <x:c r="C29" s="3" t="str">
        <x:v>unidades/dia</x:v>
      </x:c>
      <x:c r="D29" s="22" t="str">
        <x:v>Hipótese de gasto em moedas comuns.</x:v>
      </x:c>
    </x:row>
    <x:row r="30" ht="32" customHeight="1">
      <x:c r="A30" s="3" t="str">
        <x:v>Moedas por consumível</x:v>
      </x:c>
      <x:c r="B30" s="23" t="n">
        <x:v>20</x:v>
      </x:c>
      <x:c r="C30" s="3" t="str">
        <x:v>moedas/unidade</x:v>
      </x:c>
      <x:c r="D30" s="22" t="str">
        <x:v>Preço de design, não observado.</x:v>
      </x:c>
    </x:row>
    <x:row r="31" ht="32" customHeight="1">
      <x:c r="A31" s="3" t="str">
        <x:v>Vendas por conta/dia</x:v>
      </x:c>
      <x:c r="B31" s="23" t="n">
        <x:v>1</x:v>
      </x:c>
      <x:c r="C31" s="3" t="str">
        <x:v>vendas/dia</x:v>
      </x:c>
      <x:c r="D31" s="22" t="str">
        <x:v>Fluxo hipotético; exige compradores com saldo.</x:v>
      </x:c>
    </x:row>
    <x:row r="32" ht="32" customHeight="1">
      <x:c r="A32" s="3" t="str">
        <x:v>Preço médio de venda</x:v>
      </x:c>
      <x:c r="B32" s="23" t="n">
        <x:v>10</x:v>
      </x:c>
      <x:c r="C32" s="3" t="str">
        <x:v>premium/venda</x:v>
      </x:c>
      <x:c r="D32" s="22" t="str">
        <x:v>Preço hipotético, sem câmbio oficial.</x:v>
      </x:c>
    </x:row>
    <x:row r="33" ht="32" customHeight="1">
      <x:c r="A33" s="3" t="str">
        <x:v>Coeficiente da taxa comum</x:v>
      </x:c>
      <x:c r="B33" s="23" t="n">
        <x:v>0.5</x:v>
      </x:c>
      <x:c r="C33" s="3" t="str">
        <x:v>moedas/premium</x:v>
      </x:c>
      <x:c r="D33" s="22" t="str">
        <x:v>Aplicado ao preço, com arredondamento para cima.</x:v>
      </x:c>
    </x:row>
    <x:row r="34" ht="32" customHeight="1">
      <x:c r="A34" s="3" t="str">
        <x:v>Taxa mínima de venda</x:v>
      </x:c>
      <x:c r="B34" s="23" t="n">
        <x:v>5</x:v>
      </x:c>
      <x:c r="C34" s="3" t="str">
        <x:v>moedas/venda</x:v>
      </x:c>
      <x:c r="D34" s="22" t="str">
        <x:v>Pago pelo vendedor na conclusão.</x:v>
      </x:c>
    </x:row>
    <x:row r="35" ht="32" customHeight="1">
      <x:c r="A35" s="3" t="str">
        <x:v>Premium de teste injetado</x:v>
      </x:c>
      <x:c r="B35" s="23" t="n">
        <x:v>0</x:v>
      </x:c>
      <x:c r="C35" s="3" t="str">
        <x:v>premium/conta/dia</x:v>
      </x:c>
      <x:c r="D35" s="22" t="str">
        <x:v>Entrada explícita; não vem do gameplay.</x:v>
      </x:c>
    </x:row>
    <x:row r="36" ht="32" customHeight="1">
      <x:c r="A36" s="3" t="str">
        <x:v>Reguladores por conta/dia</x:v>
      </x:c>
      <x:c r="B36" s="23" t="n">
        <x:v>0</x:v>
      </x:c>
      <x:c r="C36" s="3" t="str">
        <x:v>crafts/dia</x:v>
      </x:c>
      <x:c r="D36" s="22" t="str">
        <x:v>Quest única; zero no cenário recorrente.</x:v>
      </x:c>
    </x:row>
    <x:row r="37" ht="32" customHeight="1">
      <x:c r="A37" s="3" t="str">
        <x:v>Moedas por Regulador</x:v>
      </x:c>
      <x:c r="B37" s="23" t="n">
        <x:v>120</x:v>
      </x:c>
      <x:c r="C37" s="3" t="str">
        <x:v>moedas/craft</x:v>
      </x:c>
      <x:c r="D37" s="22" t="str">
        <x:v>Mais projeto e núcleo narrativo, não modelados em volume.</x:v>
      </x:c>
    </x:row>
    <x:row r="38" ht="32" customHeight="1">
      <x:c r="A38" s="3" t="str">
        <x:v>Minério por Regulador</x:v>
      </x:c>
      <x:c r="B38" s="23" t="n">
        <x:v>20</x:v>
      </x:c>
      <x:c r="C38" s="3" t="str">
        <x:v>unidades/craft</x:v>
      </x:c>
      <x:c r="D38" s="22" t="str">
        <x:v>Receita da primeira quest.</x:v>
      </x:c>
    </x:row>
    <x:row r="39" ht="32" customHeight="1">
      <x:c r="A39" s="3" t="str">
        <x:v>Sucata por Regulador</x:v>
      </x:c>
      <x:c r="B39" s="23" t="n">
        <x:v>5</x:v>
      </x:c>
      <x:c r="C39" s="3" t="str">
        <x:v>unidades/craft</x:v>
      </x:c>
      <x:c r="D39" s="22" t="str">
        <x:v>Receita da primeira quest.</x:v>
      </x:c>
    </x:row>
    <x:row r="40" ht="32" customHeight="1">
      <x:c r="A40" s="3" t="str">
        <x:v>Cristais por Regulador</x:v>
      </x:c>
      <x:c r="B40" s="23" t="n">
        <x:v>2</x:v>
      </x:c>
      <x:c r="C40" s="3" t="str">
        <x:v>unidades/craft</x:v>
      </x:c>
      <x:c r="D40" s="22" t="str">
        <x:v>Receita da primeira quest.</x:v>
      </x:c>
    </x:row>
    <x:row r="41" ht="32" customHeight="1">
      <x:c r="A41" s="3" t="str">
        <x:v>Sucata de desmontagem/dia</x:v>
      </x:c>
      <x:c r="B41" s="23" t="n">
        <x:v>0</x:v>
      </x:c>
      <x:c r="C41" s="3" t="str">
        <x:v>unidades/dia</x:v>
      </x:c>
      <x:c r="D41" s="22" t="str">
        <x:v>Fonte separada, preencher após medir drops/desmontagem.</x:v>
      </x:c>
    </x:row>
    <x:row r="42" ht="24" customHeight="1">
      <x:c r="A42" s="3"/>
      <x:c r="B42" s="3"/>
      <x:c r="C42" s="3"/>
      <x:c r="D42" s="3"/>
    </x:row>
    <x:row r="43" ht="24" customHeight="1">
      <x:c r="A43" s="3"/>
      <x:c r="B43" s="3"/>
      <x:c r="C43" s="3"/>
      <x:c r="D43" s="3"/>
    </x:row>
    <x:row r="44" ht="28" customHeight="1">
      <x:c r="A44" s="26" t="str">
        <x:v>Células amarelas são editáveis. Caça e mineração dividem uma única equipe.</x:v>
      </x:c>
      <x:c r="B44" s="3"/>
      <x:c r="C44" s="3"/>
      <x:c r="D44" s="3"/>
    </x:row>
    <x:row r="45" ht="28" customHeight="1">
      <x:c r="A45" s="26" t="str">
        <x:v>Produção contínua estimada; derrotas, chefes e concessões únicas da quest não entram nas taxas.</x:v>
      </x:c>
      <x:c r="B45" s="3"/>
      <x:c r="C45" s="3"/>
      <x:c r="D45" s="3"/>
    </x:row>
  </x:sheetData>
  <x:dataValidations count="5">
    <x:dataValidation type="decimal" operator="between" sqref="B8">
      <x:formula1>0</x:formula1>
      <x:formula2>1</x:formula2>
    </x:dataValidation>
    <x:dataValidation type="decimal" operator="between" sqref="B10">
      <x:formula1>0</x:formula1>
      <x:formula2>1</x:formula2>
    </x:dataValidation>
    <x:dataValidation type="decimal" operator="between" sqref="B18">
      <x:formula1>0</x:formula1>
      <x:formula2>1</x:formula2>
    </x:dataValidation>
    <x:dataValidation type="whole" operator="between" sqref="B16">
      <x:formula1>1</x:formula1>
      <x:formula2>5</x:formula2>
    </x:dataValidation>
    <x:dataValidation type="decimal" operator="between" sqref="B9">
      <x:formula1>0</x:formula1>
      <x:formula2>24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4" customHeight="1">
      <x:c r="A1" s="3"/>
      <x:c r="B1" s="3"/>
      <x:c r="C1" s="3"/>
      <x:c r="D1" s="3"/>
      <x:c r="E1" s="3"/>
    </x:row>
    <x:row r="2" ht="30" customHeight="1">
      <x:c r="A2" s="4" t="str">
        <x:v>Mineração: taxas por hora de extração</x:v>
      </x:c>
      <x:c r="B2" s="3"/>
      <x:c r="C2" s="3"/>
      <x:c r="D2" s="3"/>
      <x:c r="E2" s="3"/>
    </x:row>
    <x:row r="3" ht="24" customHeight="1">
      <x:c r="A3" s="3"/>
      <x:c r="B3" s="3"/>
      <x:c r="C3" s="3"/>
      <x:c r="D3" s="3"/>
      <x:c r="E3" s="3"/>
    </x:row>
    <x:row r="4" ht="28" customHeight="1">
      <x:c r="A4" s="26" t="str">
        <x:v>Fonte: GDD v0.3, seção 15.3. Valores ajustáveis por playtest.</x:v>
      </x:c>
      <x:c r="B4" s="3"/>
      <x:c r="C4" s="3"/>
      <x:c r="D4" s="3"/>
      <x:c r="E4" s="3"/>
    </x:row>
    <x:row r="5" ht="24" customHeight="1">
      <x:c r="A5" s="3"/>
      <x:c r="B5" s="3"/>
      <x:c r="C5" s="3"/>
      <x:c r="D5" s="3"/>
      <x:c r="E5" s="3"/>
    </x:row>
    <x:row r="6" ht="34" customHeight="1">
      <x:c r="A6" s="10" t="str">
        <x:v>Etapa</x:v>
      </x:c>
      <x:c r="B6" s="10" t="str">
        <x:v>Local</x:v>
      </x:c>
      <x:c r="C6" s="10" t="str">
        <x:v>Minério/h</x:v>
      </x:c>
      <x:c r="D6" s="10" t="str">
        <x:v>Sucata/h</x:v>
      </x:c>
      <x:c r="E6" s="10" t="str">
        <x:v>Cristal/h</x:v>
      </x:c>
    </x:row>
    <x:row r="7" ht="24" customHeight="1">
      <x:c r="A7" s="3" t="n">
        <x:v>1</x:v>
      </x:c>
      <x:c r="B7" s="3" t="str">
        <x:v>Escavação rasa</x:v>
      </x:c>
      <x:c r="C7" s="25" t="n">
        <x:v>30</x:v>
      </x:c>
      <x:c r="D7" s="25" t="n">
        <x:v>8</x:v>
      </x:c>
      <x:c r="E7" s="25" t="n">
        <x:v>0</x:v>
      </x:c>
    </x:row>
    <x:row r="8" ht="24" customHeight="1">
      <x:c r="A8" s="3" t="n">
        <x:v>2</x:v>
      </x:c>
      <x:c r="B8" s="3" t="str">
        <x:v>Filão de cobre</x:v>
      </x:c>
      <x:c r="C8" s="25" t="n">
        <x:v>42</x:v>
      </x:c>
      <x:c r="D8" s="25" t="n">
        <x:v>10</x:v>
      </x:c>
      <x:c r="E8" s="25" t="n">
        <x:v>0</x:v>
      </x:c>
    </x:row>
    <x:row r="9" ht="24" customHeight="1">
      <x:c r="A9" s="3" t="n">
        <x:v>3</x:v>
      </x:c>
      <x:c r="B9" s="3" t="str">
        <x:v>Veio etéreo</x:v>
      </x:c>
      <x:c r="C9" s="25" t="n">
        <x:v>54</x:v>
      </x:c>
      <x:c r="D9" s="25" t="n">
        <x:v>12</x:v>
      </x:c>
      <x:c r="E9" s="25" t="n">
        <x:v>2</x:v>
      </x:c>
    </x:row>
    <x:row r="10" ht="24" customHeight="1">
      <x:c r="A10" s="3" t="n">
        <x:v>4</x:v>
      </x:c>
      <x:c r="B10" s="3" t="str">
        <x:v>Bolsão instável</x:v>
      </x:c>
      <x:c r="C10" s="25" t="n">
        <x:v>66</x:v>
      </x:c>
      <x:c r="D10" s="25" t="n">
        <x:v>14</x:v>
      </x:c>
      <x:c r="E10" s="25" t="n">
        <x:v>4</x:v>
      </x:c>
    </x:row>
    <x:row r="11" ht="24" customHeight="1">
      <x:c r="A11" s="3" t="n">
        <x:v>5</x:v>
      </x:c>
      <x:c r="B11" s="3" t="str">
        <x:v>Câmara cristalina</x:v>
      </x:c>
      <x:c r="C11" s="25" t="n">
        <x:v>78</x:v>
      </x:c>
      <x:c r="D11" s="25" t="n">
        <x:v>16</x:v>
      </x:c>
      <x:c r="E11" s="25" t="n">
        <x:v>6</x:v>
      </x:c>
    </x:row>
    <x:row r="12" ht="24" customHeight="1">
      <x:c r="A12" s="3"/>
      <x:c r="B12" s="3"/>
      <x:c r="C12" s="3"/>
      <x:c r="D12" s="3"/>
      <x:c r="E12" s="3"/>
    </x:row>
    <x:row r="13" ht="24" customHeight="1">
      <x:c r="A13" s="3"/>
      <x:c r="B13" s="3"/>
      <x:c r="C13" s="3"/>
      <x:c r="D13" s="3"/>
      <x:c r="E13" s="3"/>
    </x:row>
    <x:row r="14" ht="28" customHeight="1">
      <x:c r="A14" s="26" t="str">
        <x:v>Emboscadas ampliam o tempo de ciclo. Chefes e derrotas reduzem ainda mais o rendimento real.</x:v>
      </x:c>
      <x:c r="B14" s="3"/>
      <x:c r="C14" s="3"/>
      <x:c r="D14" s="3"/>
      <x:c r="E14" s="3"/>
    </x:row>
    <x:row r="15" ht="28" customHeight="1">
      <x:c r="A15" s="26" t="str">
        <x:v>O modelo usa médias fracionárias; o servidor credita inteiros e conserva os restos de extração.</x:v>
      </x:c>
      <x:c r="B15" s="3"/>
      <x:c r="C15" s="3"/>
      <x:c r="D15" s="3"/>
      <x:c r="E15" s="3"/>
    </x:row>
  </x:sheetData>
  <x:pageMargins left="0.7" right="0.7" top="0.75" bottom="0.75" header="0.3" footer="0.3"/>
</x:worksheet>
</file>